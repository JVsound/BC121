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pieringscranes-my.sharepoint.com/personal/jvermond_spieringscranes_com/Documents/Werkmap - Prive/_Audio/2026-04 BC121/Cad/"/>
    </mc:Choice>
  </mc:AlternateContent>
  <xr:revisionPtr revIDLastSave="194" documentId="8_{4366DC19-D93B-4B62-902B-BB1BE93ECCD9}" xr6:coauthVersionLast="47" xr6:coauthVersionMax="47" xr10:uidLastSave="{F3413784-466F-4069-9DB2-04AB9DA59FA9}"/>
  <bookViews>
    <workbookView xWindow="2340" yWindow="2340" windowWidth="2646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10" i="1"/>
  <c r="C9" i="1"/>
  <c r="B9" i="1"/>
  <c r="F14" i="1"/>
  <c r="D2" i="1"/>
  <c r="B7" i="1"/>
  <c r="C7" i="1"/>
  <c r="D7" i="1"/>
  <c r="F15" i="1" s="1"/>
  <c r="E5" i="1" l="1"/>
  <c r="G14" i="1" s="1"/>
  <c r="H14" i="1" s="1"/>
  <c r="I14" i="1" s="1"/>
  <c r="J14" i="1" s="1"/>
  <c r="G15" i="1" l="1"/>
  <c r="H15" i="1" s="1"/>
  <c r="I15" i="1" s="1"/>
  <c r="J15" i="1" s="1"/>
</calcChain>
</file>

<file path=xl/sharedStrings.xml><?xml version="1.0" encoding="utf-8"?>
<sst xmlns="http://schemas.openxmlformats.org/spreadsheetml/2006/main" count="22" uniqueCount="18">
  <si>
    <t>Horn constant</t>
  </si>
  <si>
    <t>[mm]</t>
  </si>
  <si>
    <t>[m]</t>
  </si>
  <si>
    <t>L [cm]</t>
  </si>
  <si>
    <r>
      <t>Am [cm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</si>
  <si>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At [cm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</si>
  <si>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</si>
  <si>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t>Horn internal width:</t>
  </si>
  <si>
    <t>Distance from throat:</t>
  </si>
  <si>
    <t>Distance from mouth:</t>
  </si>
  <si>
    <t>Lx [m]</t>
  </si>
  <si>
    <t>Ax [m2]</t>
  </si>
  <si>
    <t>Hx [m]</t>
  </si>
  <si>
    <t>Hx [mm]</t>
  </si>
  <si>
    <t>Hx/2 [mm]</t>
  </si>
  <si>
    <t>Hm [mm]</t>
  </si>
  <si>
    <t>Ht [mm]</t>
  </si>
  <si>
    <t>&lt; 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</si>
</sst>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164" fontId="0" fillId="0" borderId="0" xfId="0" applyNumberForma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65" fontId="0" fillId="0" borderId="0" xfId="0" applyNumberFormat="1" applyFill="1" applyBorder="1"/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D16" sqref="D16"/>
    </sheetView>
  </sheetViews>
  <sheetFormatPr defaultRowHeight="15" x14ac:dyDescent="0.25"/>
  <cols>
    <col min="5" max="5" width="13.42578125" bestFit="1" customWidth="1"/>
    <col min="6" max="6" width="8.5703125" customWidth="1"/>
    <col min="9" max="9" width="8.5703125" bestFit="1" customWidth="1"/>
    <col min="10" max="10" width="10.42578125" bestFit="1" customWidth="1"/>
  </cols>
  <sheetData>
    <row r="1" spans="2:17" x14ac:dyDescent="0.25">
      <c r="B1" s="11"/>
      <c r="C1" s="12" t="s">
        <v>7</v>
      </c>
      <c r="D1" s="8">
        <v>564</v>
      </c>
      <c r="E1" s="13" t="s">
        <v>1</v>
      </c>
      <c r="H1" s="8"/>
      <c r="M1" s="1"/>
    </row>
    <row r="2" spans="2:17" x14ac:dyDescent="0.25">
      <c r="D2" s="1">
        <f>D1/1000</f>
        <v>0.56399999999999995</v>
      </c>
      <c r="E2" s="13" t="s">
        <v>2</v>
      </c>
      <c r="H2" s="6"/>
      <c r="M2" s="3"/>
    </row>
    <row r="4" spans="2:17" ht="17.25" x14ac:dyDescent="0.25">
      <c r="B4" s="9" t="s">
        <v>5</v>
      </c>
      <c r="C4" s="9" t="s">
        <v>4</v>
      </c>
      <c r="D4" s="9" t="s">
        <v>3</v>
      </c>
      <c r="E4" s="9" t="s">
        <v>0</v>
      </c>
      <c r="G4" s="4"/>
      <c r="H4" s="2"/>
      <c r="I4" s="4"/>
      <c r="J4" s="2"/>
      <c r="K4" s="4"/>
      <c r="L4" s="4"/>
      <c r="M4" s="2"/>
      <c r="N4" s="4"/>
      <c r="O4" s="2"/>
      <c r="P4" s="4"/>
      <c r="Q4" s="4"/>
    </row>
    <row r="5" spans="2:17" x14ac:dyDescent="0.25">
      <c r="B5" s="3">
        <v>350</v>
      </c>
      <c r="C5" s="3">
        <v>5500</v>
      </c>
      <c r="D5" s="3">
        <v>351.4</v>
      </c>
      <c r="E5" s="5">
        <f>LN(C7/B7)/D7</f>
        <v>0.7838845238295683</v>
      </c>
      <c r="H5" s="6"/>
      <c r="J5" s="3"/>
      <c r="M5" s="6"/>
      <c r="O5" s="3"/>
    </row>
    <row r="6" spans="2:17" ht="17.25" x14ac:dyDescent="0.25">
      <c r="B6" s="9" t="s">
        <v>6</v>
      </c>
      <c r="C6" s="9" t="s">
        <v>6</v>
      </c>
      <c r="D6" s="9" t="s">
        <v>2</v>
      </c>
      <c r="E6" s="9"/>
    </row>
    <row r="7" spans="2:17" x14ac:dyDescent="0.25">
      <c r="B7" s="1">
        <f>B5/10000</f>
        <v>3.5000000000000003E-2</v>
      </c>
      <c r="C7" s="1">
        <f>C5/10000</f>
        <v>0.55000000000000004</v>
      </c>
      <c r="D7" s="1">
        <f>D5/100</f>
        <v>3.5139999999999998</v>
      </c>
    </row>
    <row r="8" spans="2:17" x14ac:dyDescent="0.25">
      <c r="B8" s="15" t="s">
        <v>16</v>
      </c>
      <c r="C8" s="15" t="s">
        <v>15</v>
      </c>
    </row>
    <row r="9" spans="2:17" x14ac:dyDescent="0.25">
      <c r="B9" s="7">
        <f>B7/$D$2*1000</f>
        <v>62.056737588652496</v>
      </c>
      <c r="C9" s="7">
        <f>C7/$D$2*1000</f>
        <v>975.17730496453919</v>
      </c>
    </row>
    <row r="10" spans="2:17" x14ac:dyDescent="0.25">
      <c r="B10" s="7">
        <f>B9/2</f>
        <v>31.028368794326248</v>
      </c>
      <c r="C10" s="7">
        <f>C9/2</f>
        <v>487.58865248226959</v>
      </c>
      <c r="D10" t="s">
        <v>17</v>
      </c>
    </row>
    <row r="13" spans="2:17" x14ac:dyDescent="0.25">
      <c r="B13" s="14"/>
      <c r="C13" s="14"/>
      <c r="D13" s="14"/>
      <c r="E13" s="14"/>
      <c r="F13" s="15" t="s">
        <v>10</v>
      </c>
      <c r="G13" s="15" t="s">
        <v>11</v>
      </c>
      <c r="H13" s="15" t="s">
        <v>12</v>
      </c>
      <c r="I13" s="15" t="s">
        <v>13</v>
      </c>
      <c r="J13" s="15" t="s">
        <v>14</v>
      </c>
    </row>
    <row r="14" spans="2:17" x14ac:dyDescent="0.25">
      <c r="C14" s="10" t="s">
        <v>8</v>
      </c>
      <c r="D14" s="8">
        <v>2300</v>
      </c>
      <c r="E14" t="s">
        <v>1</v>
      </c>
      <c r="F14" s="1">
        <f>D14/1000</f>
        <v>2.2999999999999998</v>
      </c>
      <c r="G14" s="5">
        <f>$B$7*EXP($E$5*F14)</f>
        <v>0.21235989776608752</v>
      </c>
      <c r="H14" s="5">
        <f>G14/$D$2</f>
        <v>0.3765246414292332</v>
      </c>
      <c r="I14" s="7">
        <f>H14*1000</f>
        <v>376.52464142923321</v>
      </c>
      <c r="J14" s="7">
        <f>I14/2</f>
        <v>188.26232071461661</v>
      </c>
    </row>
    <row r="15" spans="2:17" x14ac:dyDescent="0.25">
      <c r="C15" s="10" t="s">
        <v>9</v>
      </c>
      <c r="D15" s="8">
        <v>163</v>
      </c>
      <c r="E15" t="s">
        <v>1</v>
      </c>
      <c r="F15" s="1">
        <f>D7-D15/1000</f>
        <v>3.351</v>
      </c>
      <c r="G15" s="5">
        <f>$B$7*EXP($E$5*F15)</f>
        <v>0.4840291348336862</v>
      </c>
      <c r="H15" s="5">
        <f>G15/$D$2</f>
        <v>0.85820768587533025</v>
      </c>
      <c r="I15" s="7">
        <f>H15*1000</f>
        <v>858.2076858753303</v>
      </c>
      <c r="J15" s="7">
        <f>I15/2</f>
        <v>429.10384293766515</v>
      </c>
    </row>
    <row r="17" spans="1:22" x14ac:dyDescent="0.25">
      <c r="A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x14ac:dyDescent="0.25">
      <c r="A18" s="17"/>
      <c r="K18" s="17"/>
      <c r="L18" s="17"/>
      <c r="M18" s="17"/>
      <c r="N18" s="17"/>
      <c r="O18" s="17"/>
      <c r="P18" s="17"/>
      <c r="Q18" s="17"/>
      <c r="R18" s="17"/>
      <c r="S18" s="16"/>
      <c r="T18" s="16"/>
      <c r="U18" s="16"/>
      <c r="V18" s="16"/>
    </row>
    <row r="19" spans="1:22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6"/>
      <c r="T19" s="16"/>
      <c r="U19" s="16"/>
      <c r="V19" s="16"/>
    </row>
    <row r="20" spans="1:22" x14ac:dyDescent="0.25">
      <c r="A20" s="17"/>
      <c r="B20" s="17"/>
      <c r="C20" s="17"/>
      <c r="D20" s="17"/>
      <c r="E20" s="17"/>
      <c r="F20" s="17"/>
      <c r="G20" s="17"/>
      <c r="H20" s="18"/>
      <c r="I20" s="17"/>
      <c r="J20" s="17"/>
      <c r="K20" s="17"/>
      <c r="L20" s="17"/>
      <c r="M20" s="18"/>
      <c r="N20" s="17"/>
      <c r="O20" s="17"/>
      <c r="P20" s="17"/>
      <c r="Q20" s="17"/>
      <c r="R20" s="17"/>
      <c r="S20" s="16"/>
      <c r="T20" s="16"/>
      <c r="U20" s="16"/>
      <c r="V20" s="16"/>
    </row>
    <row r="21" spans="1:22" x14ac:dyDescent="0.25">
      <c r="A21" s="17"/>
      <c r="B21" s="17"/>
      <c r="C21" s="17"/>
      <c r="D21" s="17"/>
      <c r="E21" s="17"/>
      <c r="F21" s="17"/>
      <c r="G21" s="17"/>
      <c r="H21" s="19"/>
      <c r="I21" s="17"/>
      <c r="J21" s="17"/>
      <c r="K21" s="17"/>
      <c r="L21" s="17"/>
      <c r="M21" s="19"/>
      <c r="N21" s="17"/>
      <c r="O21" s="17"/>
      <c r="P21" s="17"/>
      <c r="Q21" s="17"/>
      <c r="R21" s="17"/>
      <c r="S21" s="16"/>
      <c r="T21" s="16"/>
      <c r="U21" s="16"/>
      <c r="V21" s="16"/>
    </row>
    <row r="22" spans="1:22" x14ac:dyDescent="0.25">
      <c r="A22" s="17"/>
      <c r="B22" s="19"/>
      <c r="C22" s="19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6"/>
      <c r="T22" s="16"/>
      <c r="U22" s="16"/>
      <c r="V22" s="16"/>
    </row>
    <row r="23" spans="1:22" x14ac:dyDescent="0.25">
      <c r="A23" s="17"/>
      <c r="B23" s="20"/>
      <c r="C23" s="20"/>
      <c r="D23" s="17"/>
      <c r="E23" s="17"/>
      <c r="F23" s="17"/>
      <c r="G23" s="17"/>
      <c r="H23" s="20"/>
      <c r="I23" s="17"/>
      <c r="J23" s="17"/>
      <c r="K23" s="17"/>
      <c r="L23" s="17"/>
      <c r="M23" s="20"/>
      <c r="N23" s="17"/>
      <c r="O23" s="17"/>
      <c r="P23" s="17"/>
      <c r="Q23" s="17"/>
      <c r="R23" s="17"/>
      <c r="S23" s="16"/>
      <c r="T23" s="16"/>
      <c r="U23" s="16"/>
      <c r="V23" s="16"/>
    </row>
    <row r="24" spans="1:22" x14ac:dyDescent="0.25">
      <c r="A24" s="17"/>
      <c r="B24" s="17"/>
      <c r="C24" s="17"/>
      <c r="D24" s="17"/>
      <c r="E24" s="17"/>
      <c r="F24" s="17"/>
      <c r="G24" s="17"/>
      <c r="H24" s="21"/>
      <c r="I24" s="17"/>
      <c r="J24" s="17"/>
      <c r="K24" s="17"/>
      <c r="L24" s="17"/>
      <c r="M24" s="21"/>
      <c r="N24" s="17"/>
      <c r="O24" s="17"/>
      <c r="P24" s="17"/>
      <c r="Q24" s="17"/>
      <c r="R24" s="17"/>
      <c r="S24" s="16"/>
      <c r="T24" s="16"/>
      <c r="U24" s="16"/>
      <c r="V24" s="16"/>
    </row>
    <row r="25" spans="1:22" x14ac:dyDescent="0.25">
      <c r="A25" s="17"/>
      <c r="B25" s="17"/>
      <c r="C25" s="17"/>
      <c r="D25" s="17"/>
      <c r="E25" s="17"/>
      <c r="F25" s="17"/>
      <c r="G25" s="17"/>
      <c r="H25" s="20"/>
      <c r="I25" s="17"/>
      <c r="J25" s="17"/>
      <c r="K25" s="17"/>
      <c r="L25" s="17"/>
      <c r="M25" s="20"/>
      <c r="N25" s="17"/>
      <c r="O25" s="17"/>
      <c r="P25" s="17"/>
      <c r="Q25" s="17"/>
      <c r="R25" s="17"/>
      <c r="S25" s="16"/>
      <c r="T25" s="16"/>
      <c r="U25" s="16"/>
      <c r="V25" s="16"/>
    </row>
    <row r="26" spans="1:22" x14ac:dyDescent="0.25">
      <c r="A26" s="17"/>
      <c r="B26" s="17"/>
      <c r="C26" s="17"/>
      <c r="D26" s="17"/>
      <c r="E26" s="17"/>
      <c r="F26" s="17"/>
      <c r="G26" s="17"/>
      <c r="H26" s="22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6"/>
      <c r="T26" s="16"/>
      <c r="U26" s="16"/>
      <c r="V26" s="16"/>
    </row>
    <row r="27" spans="1:22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x14ac:dyDescent="0.25">
      <c r="A29" s="16"/>
      <c r="B29" s="23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x14ac:dyDescent="0.25">
      <c r="A30" s="16"/>
      <c r="B30" s="23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x14ac:dyDescent="0.25">
      <c r="A31" s="16"/>
      <c r="B31" s="23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Vermond</dc:creator>
  <cp:lastModifiedBy>Jeroen Vermond</cp:lastModifiedBy>
  <dcterms:created xsi:type="dcterms:W3CDTF">2015-06-05T18:17:20Z</dcterms:created>
  <dcterms:modified xsi:type="dcterms:W3CDTF">2026-04-04T17:06:19Z</dcterms:modified>
</cp:coreProperties>
</file>